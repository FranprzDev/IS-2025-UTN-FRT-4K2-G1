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2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working\waccache\CP1PEPF00000FAC\EXCELCNV\5da53851-f06f-4cde-b196-c8edda3bf79d\"/>
    </mc:Choice>
  </mc:AlternateContent>
  <xr:revisionPtr revIDLastSave="0" documentId="8_{65E4B936-F00E-4528-B731-D02192E4C6A9}" xr6:coauthVersionLast="47" xr6:coauthVersionMax="47" xr10:uidLastSave="{00000000-0000-0000-0000-000000000000}"/>
  <bookViews>
    <workbookView xWindow="-60" yWindow="-60" windowWidth="15480" windowHeight="11640" tabRatio="712" firstSheet="1" activeTab="1" xr2:uid="{C4E14FD4-557D-4522-ACEE-69676D268E87}"/>
  </bookViews>
  <sheets>
    <sheet name="Registro TC - SG" sheetId="2" r:id="rId1"/>
    <sheet name="TC-SG-001-01" sheetId="6" r:id="rId2"/>
  </sheets>
  <definedNames>
    <definedName name="_xlnm._FilterDatabase" localSheetId="0" hidden="1">'Registro TC - SG'!$A$7:$G$13</definedName>
    <definedName name="_xlnm.Print_Area" localSheetId="0">'Registro TC - SG'!$A$8:$G$13</definedName>
    <definedName name="_xlnm.Print_Area" localSheetId="1">'TC-SG-001-01'!$A$1:$E$21</definedName>
    <definedName name="_xlnm.Print_Titles" localSheetId="0">'Registro TC - SG'!$1:$7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6" l="1"/>
  <c r="C20" i="6"/>
  <c r="C19" i="6"/>
  <c r="F16" i="2"/>
  <c r="F15" i="2"/>
  <c r="F14" i="2"/>
  <c r="F13" i="2"/>
  <c r="F12" i="2"/>
  <c r="F11" i="2"/>
  <c r="F10" i="2"/>
  <c r="F9" i="2"/>
  <c r="F8" i="2"/>
  <c r="E16" i="2"/>
  <c r="E15" i="2"/>
  <c r="E14" i="2"/>
  <c r="E13" i="2"/>
  <c r="E12" i="2"/>
  <c r="E11" i="2"/>
  <c r="E10" i="2"/>
  <c r="E9" i="2"/>
  <c r="E8" i="2"/>
  <c r="D16" i="2"/>
  <c r="D15" i="2"/>
  <c r="D14" i="2"/>
  <c r="D13" i="2"/>
  <c r="D12" i="2"/>
  <c r="D11" i="2"/>
  <c r="D10" i="2"/>
  <c r="D9" i="2"/>
  <c r="D8" i="2"/>
  <c r="B4" i="2"/>
  <c r="B2" i="6"/>
  <c r="B1" i="6"/>
  <c r="C7" i="6"/>
  <c r="E1" i="6"/>
  <c r="B3" i="6"/>
  <c r="B4" i="6"/>
  <c r="E4" i="6"/>
  <c r="B5" i="6"/>
  <c r="C18" i="6"/>
  <c r="E5" i="6"/>
</calcChain>
</file>

<file path=xl/sharedStrings.xml><?xml version="1.0" encoding="utf-8"?>
<sst xmlns="http://schemas.openxmlformats.org/spreadsheetml/2006/main" count="88" uniqueCount="67">
  <si>
    <t>Nombre de la prueba:</t>
  </si>
  <si>
    <t>Pruebas al Sistema de Guardia</t>
  </si>
  <si>
    <t>Sistema:</t>
  </si>
  <si>
    <t>Sistema de Guardia</t>
  </si>
  <si>
    <t xml:space="preserve">Autor del caso de prueba: </t>
  </si>
  <si>
    <t>Perez, Juan</t>
  </si>
  <si>
    <t>Versión:</t>
  </si>
  <si>
    <t>1.0.0</t>
  </si>
  <si>
    <t xml:space="preserve">Tester: </t>
  </si>
  <si>
    <t>Rodriguez, Marcelo</t>
  </si>
  <si>
    <t>Revisión:</t>
  </si>
  <si>
    <t>Fecha prueba:</t>
  </si>
  <si>
    <t>Ciclo:</t>
  </si>
  <si>
    <t>Id. TC</t>
  </si>
  <si>
    <t>Objetivo</t>
  </si>
  <si>
    <t>Categoría</t>
  </si>
  <si>
    <t>Resultados obtenidos</t>
  </si>
  <si>
    <t>Aprobado</t>
  </si>
  <si>
    <t>Observaciones</t>
  </si>
  <si>
    <t>Modulo - Caso de Uso</t>
  </si>
  <si>
    <t>TC-IS-001-01</t>
  </si>
  <si>
    <t>Prueba Req. 01</t>
  </si>
  <si>
    <t>Funcional</t>
  </si>
  <si>
    <t>Caso de uso 01</t>
  </si>
  <si>
    <t>TC-IS-001-02</t>
  </si>
  <si>
    <t>Prueba Req. 01 - alternativa 1</t>
  </si>
  <si>
    <t>TC-IS-001-03</t>
  </si>
  <si>
    <t>Prueba Req. 01 - alternativa 2</t>
  </si>
  <si>
    <t>TC-IS-001-04</t>
  </si>
  <si>
    <t>Prueba Req. 01 - alternativa 3</t>
  </si>
  <si>
    <t>TC-IS-001-05</t>
  </si>
  <si>
    <t>Prueba Req. 01 - alternativa 4</t>
  </si>
  <si>
    <t>TC-IS-001-06</t>
  </si>
  <si>
    <t>Prueba Req. 01 - alternativa 5</t>
  </si>
  <si>
    <t>TC-IS-001-07</t>
  </si>
  <si>
    <t>Prueba Req. 01 - alternativa 6</t>
  </si>
  <si>
    <t>TC-IS-001-08</t>
  </si>
  <si>
    <t>Prueba Req. 01 - alternativa 7</t>
  </si>
  <si>
    <t>TC-IS-001-09</t>
  </si>
  <si>
    <t>Prueba Req. 01 - alternativa 8</t>
  </si>
  <si>
    <t>Id Caso de Prueba:</t>
  </si>
  <si>
    <t>Tester:</t>
  </si>
  <si>
    <t>Ir a inicio</t>
  </si>
  <si>
    <t>Fecha:</t>
  </si>
  <si>
    <t>Entorno:</t>
  </si>
  <si>
    <t>homologacion</t>
  </si>
  <si>
    <t>Base de datos:</t>
  </si>
  <si>
    <t>Pantalla/Módulo/C.Uso/US:</t>
  </si>
  <si>
    <t>Tipo de Prueba:</t>
  </si>
  <si>
    <r>
      <t xml:space="preserve">Unidad </t>
    </r>
    <r>
      <rPr>
        <sz val="10"/>
        <rFont val="Wingdings"/>
        <charset val="2"/>
      </rPr>
      <t>¨</t>
    </r>
    <r>
      <rPr>
        <sz val="10"/>
        <rFont val="Tahoma"/>
        <family val="2"/>
      </rPr>
      <t/>
    </r>
  </si>
  <si>
    <r>
      <t xml:space="preserve">Integridad </t>
    </r>
    <r>
      <rPr>
        <sz val="10"/>
        <rFont val="Wingdings"/>
        <charset val="2"/>
      </rPr>
      <t>¨</t>
    </r>
  </si>
  <si>
    <r>
      <t xml:space="preserve">Funcional </t>
    </r>
    <r>
      <rPr>
        <sz val="10"/>
        <rFont val="Wingdings"/>
        <charset val="2"/>
      </rPr>
      <t>þ</t>
    </r>
  </si>
  <si>
    <r>
      <t xml:space="preserve">Aceptación </t>
    </r>
    <r>
      <rPr>
        <sz val="10"/>
        <rFont val="Wingdings"/>
        <charset val="2"/>
      </rPr>
      <t>¨</t>
    </r>
  </si>
  <si>
    <t>Objetivo de la prueba:</t>
  </si>
  <si>
    <t>Prerrequisitos de la prueba:</t>
  </si>
  <si>
    <t>1. Tener instalado y configurado el sistema "PFxxx" correctamente.
2. Estar habilitado en el sistema con el perfil "…..."
3. Ejecutar el sistema  desde Google Chrome versión "49.0.2623.112 m" con la URL: https://hmg.nnn.net/PFxxx/</t>
  </si>
  <si>
    <t>Procedimiento:</t>
  </si>
  <si>
    <t>1.- Ingresar al sistema con Usuario y Clave correspondientes
2.- Presionar el botón: "Entrar"
3.- Ingresar en la opción de menú "Nuevas Tablas" - "Fechas libres"
4.- Ingresar en el campo: 
        Nombre: TC-PF-001-01
        Fecha: 12/10/2017
        Fecha efectiva:  16/10/2017
5.- Presionar el botón: "Aceptar"</t>
  </si>
  <si>
    <t>Resultados esperados:</t>
  </si>
  <si>
    <t>2.- Se muestra la página "Home".
3.- Se muestra la página "Nueva fecha libre".
5.- Alta exitosa. Se muestra la página "Nueva fecha libre" con los campos vacíos y el mensaje "La fecha se creó correctamente".</t>
  </si>
  <si>
    <t>Resultados obtenidos:</t>
  </si>
  <si>
    <t>De acuerdo a lo esperado.</t>
  </si>
  <si>
    <t>Observaciones y Link del Video</t>
  </si>
  <si>
    <t>Resultado de la prueba:</t>
  </si>
  <si>
    <t>No Aprobado</t>
  </si>
  <si>
    <t>Bloqueado</t>
  </si>
  <si>
    <t>N /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</si>
</sst>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0"/>
      <name val="Tahoma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name val="Tahoma"/>
      <family val="2"/>
    </font>
    <font>
      <sz val="10"/>
      <name val="Tahoma"/>
      <family val="2"/>
    </font>
    <font>
      <sz val="10"/>
      <name val="Wingdings"/>
      <charset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57">
    <xf numFmtId="0" fontId="0" fillId="0" borderId="0" xfId="0"/>
    <xf numFmtId="0" fontId="3" fillId="0" borderId="0" xfId="0" applyFont="1" applyAlignment="1">
      <alignment vertical="top"/>
    </xf>
    <xf numFmtId="0" fontId="3" fillId="0" borderId="0" xfId="0" applyFont="1"/>
    <xf numFmtId="3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3" fontId="4" fillId="0" borderId="2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 wrapText="1"/>
    </xf>
    <xf numFmtId="0" fontId="4" fillId="0" borderId="3" xfId="2" applyFont="1" applyBorder="1" applyAlignment="1">
      <alignment horizontal="left" vertical="center"/>
    </xf>
    <xf numFmtId="0" fontId="4" fillId="0" borderId="2" xfId="2" applyFont="1" applyBorder="1" applyAlignment="1">
      <alignment horizontal="left" vertical="center"/>
    </xf>
    <xf numFmtId="0" fontId="5" fillId="0" borderId="0" xfId="2" applyFont="1" applyAlignment="1">
      <alignment horizontal="right" vertical="center"/>
    </xf>
    <xf numFmtId="0" fontId="4" fillId="0" borderId="0" xfId="2" applyFont="1" applyAlignment="1">
      <alignment horizontal="left" vertical="center"/>
    </xf>
    <xf numFmtId="0" fontId="4" fillId="0" borderId="4" xfId="2" applyFont="1" applyBorder="1" applyAlignment="1">
      <alignment horizontal="left" vertical="center"/>
    </xf>
    <xf numFmtId="0" fontId="2" fillId="0" borderId="0" xfId="2" applyAlignment="1">
      <alignment horizontal="left"/>
    </xf>
    <xf numFmtId="0" fontId="5" fillId="0" borderId="5" xfId="2" applyFont="1" applyBorder="1" applyAlignment="1">
      <alignment horizontal="right" vertical="center"/>
    </xf>
    <xf numFmtId="0" fontId="4" fillId="0" borderId="5" xfId="2" applyFont="1" applyBorder="1" applyAlignment="1">
      <alignment horizontal="left" vertical="center"/>
    </xf>
    <xf numFmtId="0" fontId="4" fillId="0" borderId="6" xfId="2" applyFont="1" applyBorder="1" applyAlignment="1">
      <alignment horizontal="left" vertical="center"/>
    </xf>
    <xf numFmtId="0" fontId="2" fillId="0" borderId="0" xfId="2"/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top" wrapText="1"/>
    </xf>
    <xf numFmtId="14" fontId="0" fillId="0" borderId="0" xfId="0" applyNumberFormat="1" applyAlignment="1">
      <alignment horizontal="left"/>
    </xf>
    <xf numFmtId="0" fontId="1" fillId="0" borderId="0" xfId="1" applyAlignment="1" applyProtection="1"/>
    <xf numFmtId="0" fontId="1" fillId="0" borderId="7" xfId="1" applyFill="1" applyBorder="1" applyAlignment="1" applyProtection="1">
      <alignment horizontal="center" vertical="center" wrapText="1"/>
    </xf>
    <xf numFmtId="0" fontId="0" fillId="0" borderId="7" xfId="0" applyBorder="1" applyAlignment="1">
      <alignment horizontal="left" vertical="top" wrapText="1"/>
    </xf>
    <xf numFmtId="0" fontId="0" fillId="0" borderId="7" xfId="0" quotePrefix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0" borderId="7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center" vertical="center" wrapText="1"/>
    </xf>
    <xf numFmtId="0" fontId="4" fillId="0" borderId="7" xfId="0" applyFont="1" applyBorder="1" applyAlignment="1">
      <alignment vertical="top" wrapText="1"/>
    </xf>
    <xf numFmtId="0" fontId="4" fillId="0" borderId="0" xfId="0" quotePrefix="1" applyFont="1"/>
    <xf numFmtId="0" fontId="4" fillId="0" borderId="8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4" fillId="0" borderId="6" xfId="0" applyFont="1" applyBorder="1" applyAlignment="1">
      <alignment vertical="top" wrapText="1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center"/>
    </xf>
    <xf numFmtId="0" fontId="3" fillId="0" borderId="1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4" fillId="0" borderId="3" xfId="0" applyFont="1" applyBorder="1" applyAlignment="1">
      <alignment vertical="top" wrapText="1"/>
    </xf>
    <xf numFmtId="0" fontId="4" fillId="0" borderId="2" xfId="0" applyFont="1" applyBorder="1" applyAlignment="1">
      <alignment vertical="top" wrapText="1"/>
    </xf>
    <xf numFmtId="14" fontId="4" fillId="0" borderId="3" xfId="0" applyNumberFormat="1" applyFont="1" applyBorder="1" applyAlignment="1">
      <alignment horizontal="left" vertical="center"/>
    </xf>
    <xf numFmtId="0" fontId="4" fillId="0" borderId="10" xfId="0" applyFont="1" applyBorder="1" applyAlignment="1">
      <alignment vertical="center"/>
    </xf>
    <xf numFmtId="0" fontId="4" fillId="0" borderId="11" xfId="0" applyFont="1" applyBorder="1" applyAlignment="1">
      <alignment vertical="center"/>
    </xf>
  </cellXfs>
  <cellStyles count="3">
    <cellStyle name="Hipervínculo" xfId="1" builtinId="8"/>
    <cellStyle name="Normal" xfId="0" builtinId="0"/>
    <cellStyle name="Normal_Casos de Prueba - AC - 081~117" xfId="2" xr:uid="{417DD3C6-EA50-43F1-AE6C-480CC11E61CB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17</xdr:row>
      <xdr:rowOff>0</xdr:rowOff>
    </xdr:to>
    <xdr:sp macro="" textlink="">
      <xdr:nvSpPr>
        <xdr:cNvPr id="1286" name="AutoShape 1" descr="https://hmg.bcra.net/IyTB.Web/WebResource.axd?d=46RlpSdovlMlTF_GPTHrsl5is0Xtr3NyUEhfU-xZQg0Ph0uBBLizhO79QBMtKZQB4g-RRJm6dqPuaPnG3oi7ZQ2&amp;t=633380600660000000">
          <a:extLst>
            <a:ext uri="{FF2B5EF4-FFF2-40B4-BE49-F238E27FC236}">
              <a16:creationId xmlns:a16="http://schemas.microsoft.com/office/drawing/2014/main" id="{A98AE934-5CF7-C89B-2F3D-1CDAEAA42F99}"/>
            </a:ext>
          </a:extLst>
        </xdr:cNvPr>
        <xdr:cNvSpPr>
          <a:spLocks noChangeAspect="1" noChangeArrowheads="1"/>
        </xdr:cNvSpPr>
      </xdr:nvSpPr>
      <xdr:spPr bwMode="auto">
        <a:xfrm>
          <a:off x="1657350" y="2752725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17</xdr:row>
      <xdr:rowOff>0</xdr:rowOff>
    </xdr:to>
    <xdr:sp macro="" textlink="">
      <xdr:nvSpPr>
        <xdr:cNvPr id="1287" name="AutoShape 2" descr="https://hmg.bcra.net/IyTB.Web/WebResource.axd?d=46RlpSdovlMlTF_GPTHrsl5is0Xtr3NyUEhfU-xZQg0Ph0uBBLizhO79QBMtKZQB4g-RRJm6dqPuaPnG3oi7ZQ2&amp;t=633380600660000000">
          <a:extLst>
            <a:ext uri="{FF2B5EF4-FFF2-40B4-BE49-F238E27FC236}">
              <a16:creationId xmlns:a16="http://schemas.microsoft.com/office/drawing/2014/main" id="{74EDE969-C9F7-E04E-D557-878787B86BA0}"/>
            </a:ext>
          </a:extLst>
        </xdr:cNvPr>
        <xdr:cNvSpPr>
          <a:spLocks noChangeAspect="1" noChangeArrowheads="1"/>
        </xdr:cNvSpPr>
      </xdr:nvSpPr>
      <xdr:spPr bwMode="auto">
        <a:xfrm>
          <a:off x="1657350" y="2752725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17</xdr:row>
      <xdr:rowOff>0</xdr:rowOff>
    </xdr:to>
    <xdr:sp macro="" textlink="">
      <xdr:nvSpPr>
        <xdr:cNvPr id="1288" name="AutoShape 3" descr="https://hmg.bcra.net/IyTB.Web/WebResource.axd?d=46RlpSdovlMlTF_GPTHrsl5is0Xtr3NyUEhfU-xZQg0Ph0uBBLizhO79QBMtKZQB4g-RRJm6dqPuaPnG3oi7ZQ2&amp;t=633380600660000000">
          <a:extLst>
            <a:ext uri="{FF2B5EF4-FFF2-40B4-BE49-F238E27FC236}">
              <a16:creationId xmlns:a16="http://schemas.microsoft.com/office/drawing/2014/main" id="{57EF11B8-20A9-8AA8-2080-D4037B8CFC88}"/>
            </a:ext>
          </a:extLst>
        </xdr:cNvPr>
        <xdr:cNvSpPr>
          <a:spLocks noChangeAspect="1" noChangeArrowheads="1"/>
        </xdr:cNvSpPr>
      </xdr:nvSpPr>
      <xdr:spPr bwMode="auto">
        <a:xfrm>
          <a:off x="1657350" y="2752725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17</xdr:row>
      <xdr:rowOff>0</xdr:rowOff>
    </xdr:to>
    <xdr:sp macro="" textlink="">
      <xdr:nvSpPr>
        <xdr:cNvPr id="1289" name="AutoShape 4" descr="https://hmg.bcra.net/IyTB.Web/WebResource.axd?d=46RlpSdovlMlTF_GPTHrsl5is0Xtr3NyUEhfU-xZQg0Ph0uBBLizhO79QBMtKZQB4g-RRJm6dqPuaPnG3oi7ZQ2&amp;t=633380600660000000">
          <a:extLst>
            <a:ext uri="{FF2B5EF4-FFF2-40B4-BE49-F238E27FC236}">
              <a16:creationId xmlns:a16="http://schemas.microsoft.com/office/drawing/2014/main" id="{CEFB3D87-955D-E9F5-0758-C5C6C919A925}"/>
            </a:ext>
          </a:extLst>
        </xdr:cNvPr>
        <xdr:cNvSpPr>
          <a:spLocks noChangeAspect="1" noChangeArrowheads="1"/>
        </xdr:cNvSpPr>
      </xdr:nvSpPr>
      <xdr:spPr bwMode="auto">
        <a:xfrm>
          <a:off x="1657350" y="2752725"/>
          <a:ext cx="3048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AF7F6-9739-40B9-8D75-9E60A9BFF517}">
  <sheetPr codeName="Hoja1">
    <pageSetUpPr fitToPage="1"/>
  </sheetPr>
  <dimension ref="A1:H16"/>
  <sheetViews>
    <sheetView zoomScale="85" workbookViewId="0">
      <selection activeCell="F8" sqref="F8"/>
    </sheetView>
  </sheetViews>
  <sheetFormatPr defaultRowHeight="12.75"/>
  <cols>
    <col min="1" max="1" width="24.85546875" customWidth="1"/>
    <col min="2" max="2" width="36.7109375" customWidth="1"/>
    <col min="3" max="3" width="13.140625" customWidth="1"/>
    <col min="4" max="4" width="21.140625" customWidth="1"/>
    <col min="5" max="5" width="15.7109375" style="21" bestFit="1" customWidth="1"/>
    <col min="6" max="6" width="21.42578125" customWidth="1"/>
    <col min="7" max="7" width="53.140625" customWidth="1"/>
    <col min="8" max="8" width="24.140625" customWidth="1"/>
    <col min="9" max="256" width="11.42578125" customWidth="1"/>
  </cols>
  <sheetData>
    <row r="1" spans="1:8">
      <c r="A1" s="1" t="s">
        <v>0</v>
      </c>
      <c r="B1" s="29" t="s">
        <v>1</v>
      </c>
      <c r="C1" s="1" t="s">
        <v>2</v>
      </c>
      <c r="D1" s="30" t="s">
        <v>3</v>
      </c>
    </row>
    <row r="2" spans="1:8">
      <c r="A2" s="2" t="s">
        <v>4</v>
      </c>
      <c r="B2" s="3" t="s">
        <v>5</v>
      </c>
      <c r="C2" s="2" t="s">
        <v>6</v>
      </c>
      <c r="D2" s="4" t="s">
        <v>7</v>
      </c>
    </row>
    <row r="3" spans="1:8">
      <c r="A3" s="2" t="s">
        <v>8</v>
      </c>
      <c r="B3" s="3" t="s">
        <v>9</v>
      </c>
      <c r="C3" s="2" t="s">
        <v>10</v>
      </c>
      <c r="D3" s="4">
        <v>1</v>
      </c>
    </row>
    <row r="4" spans="1:8">
      <c r="A4" s="2" t="s">
        <v>11</v>
      </c>
      <c r="B4" s="24">
        <f ca="1">TODAY()</f>
        <v>45990</v>
      </c>
      <c r="C4" s="2" t="s">
        <v>12</v>
      </c>
      <c r="D4" s="4">
        <v>1</v>
      </c>
    </row>
    <row r="7" spans="1:8" ht="25.5">
      <c r="A7" s="22" t="s">
        <v>13</v>
      </c>
      <c r="B7" s="22" t="s">
        <v>14</v>
      </c>
      <c r="C7" s="22" t="s">
        <v>15</v>
      </c>
      <c r="D7" s="22" t="s">
        <v>16</v>
      </c>
      <c r="E7" s="22" t="s">
        <v>17</v>
      </c>
      <c r="F7" s="22" t="s">
        <v>18</v>
      </c>
      <c r="G7" s="23" t="s">
        <v>19</v>
      </c>
      <c r="H7" s="5"/>
    </row>
    <row r="8" spans="1:8" ht="25.5">
      <c r="A8" s="26" t="s">
        <v>20</v>
      </c>
      <c r="B8" s="31" t="s">
        <v>21</v>
      </c>
      <c r="C8" s="32" t="s">
        <v>22</v>
      </c>
      <c r="D8" s="27" t="str">
        <f>'TC-SG-001-01'!$A$15</f>
        <v>De acuerdo a lo esperado.</v>
      </c>
      <c r="E8" s="28" t="str">
        <f>IF('TC-SG-001-01'!$F$18=1,"Si",IF('TC-SG-001-01'!$F$18=2,"No","No probado"))</f>
        <v>Si</v>
      </c>
      <c r="F8" s="27" t="str">
        <f>IF('TC-SG-001-01'!$A$17=0,"",'TC-SG-001-01'!$A$17)</f>
        <v/>
      </c>
      <c r="G8" s="33" t="s">
        <v>23</v>
      </c>
      <c r="H8" s="20"/>
    </row>
    <row r="9" spans="1:8">
      <c r="A9" s="26" t="s">
        <v>24</v>
      </c>
      <c r="B9" s="31" t="s">
        <v>25</v>
      </c>
      <c r="C9" s="32" t="s">
        <v>22</v>
      </c>
      <c r="D9" s="27" t="e">
        <f>#REF!</f>
        <v>#REF!</v>
      </c>
      <c r="E9" s="28" t="e">
        <f>IF(#REF!=1,"Si",IF(#REF!=2,"No","No probado"))</f>
        <v>#REF!</v>
      </c>
      <c r="F9" s="27" t="e">
        <f>IF(#REF!=0,"",#REF!)</f>
        <v>#REF!</v>
      </c>
      <c r="G9" s="33" t="s">
        <v>23</v>
      </c>
      <c r="H9" s="20"/>
    </row>
    <row r="10" spans="1:8">
      <c r="A10" s="26" t="s">
        <v>26</v>
      </c>
      <c r="B10" s="31" t="s">
        <v>27</v>
      </c>
      <c r="C10" s="32" t="s">
        <v>22</v>
      </c>
      <c r="D10" s="27" t="e">
        <f>#REF!</f>
        <v>#REF!</v>
      </c>
      <c r="E10" s="28" t="e">
        <f>IF(#REF!=1,"Si",IF(#REF!=2,"No","No probado"))</f>
        <v>#REF!</v>
      </c>
      <c r="F10" s="27" t="e">
        <f>IF(#REF!=0,"",#REF!)</f>
        <v>#REF!</v>
      </c>
      <c r="G10" s="33" t="s">
        <v>23</v>
      </c>
      <c r="H10" s="20"/>
    </row>
    <row r="11" spans="1:8">
      <c r="A11" s="26" t="s">
        <v>28</v>
      </c>
      <c r="B11" s="31" t="s">
        <v>29</v>
      </c>
      <c r="C11" s="32" t="s">
        <v>22</v>
      </c>
      <c r="D11" s="27" t="e">
        <f>#REF!</f>
        <v>#REF!</v>
      </c>
      <c r="E11" s="28" t="e">
        <f>IF(#REF!=1,"Si",IF(#REF!=2,"No","No probado"))</f>
        <v>#REF!</v>
      </c>
      <c r="F11" s="27" t="e">
        <f>IF(#REF!=0,"",#REF!)</f>
        <v>#REF!</v>
      </c>
      <c r="G11" s="33" t="s">
        <v>23</v>
      </c>
      <c r="H11" s="20"/>
    </row>
    <row r="12" spans="1:8">
      <c r="A12" s="26" t="s">
        <v>30</v>
      </c>
      <c r="B12" s="31" t="s">
        <v>31</v>
      </c>
      <c r="C12" s="32" t="s">
        <v>22</v>
      </c>
      <c r="D12" s="27" t="e">
        <f>#REF!</f>
        <v>#REF!</v>
      </c>
      <c r="E12" s="28" t="e">
        <f>IF(#REF!=1,"Si",IF(#REF!=2,"No","No probado"))</f>
        <v>#REF!</v>
      </c>
      <c r="F12" s="27" t="e">
        <f>IF(#REF!=0,"",#REF!)</f>
        <v>#REF!</v>
      </c>
      <c r="G12" s="33" t="s">
        <v>23</v>
      </c>
      <c r="H12" s="20"/>
    </row>
    <row r="13" spans="1:8">
      <c r="A13" s="26" t="s">
        <v>32</v>
      </c>
      <c r="B13" s="31" t="s">
        <v>33</v>
      </c>
      <c r="C13" s="32" t="s">
        <v>22</v>
      </c>
      <c r="D13" s="27" t="e">
        <f>#REF!</f>
        <v>#REF!</v>
      </c>
      <c r="E13" s="28" t="e">
        <f>IF(#REF!=1,"Si",IF(#REF!=2,"No","No probado"))</f>
        <v>#REF!</v>
      </c>
      <c r="F13" s="27" t="e">
        <f>IF(#REF!=0,"",#REF!)</f>
        <v>#REF!</v>
      </c>
      <c r="G13" s="33" t="s">
        <v>23</v>
      </c>
      <c r="H13" s="20"/>
    </row>
    <row r="14" spans="1:8">
      <c r="A14" s="26" t="s">
        <v>34</v>
      </c>
      <c r="B14" s="31" t="s">
        <v>35</v>
      </c>
      <c r="C14" s="32" t="s">
        <v>22</v>
      </c>
      <c r="D14" s="27" t="e">
        <f>#REF!</f>
        <v>#REF!</v>
      </c>
      <c r="E14" s="28" t="e">
        <f>IF(#REF!=1,"Si",IF(#REF!=2,"No","No probado"))</f>
        <v>#REF!</v>
      </c>
      <c r="F14" s="27" t="e">
        <f>IF(#REF!=0,"",#REF!)</f>
        <v>#REF!</v>
      </c>
      <c r="G14" s="33" t="s">
        <v>23</v>
      </c>
    </row>
    <row r="15" spans="1:8">
      <c r="A15" s="26" t="s">
        <v>36</v>
      </c>
      <c r="B15" s="31" t="s">
        <v>37</v>
      </c>
      <c r="C15" s="32" t="s">
        <v>22</v>
      </c>
      <c r="D15" s="27" t="e">
        <f>#REF!</f>
        <v>#REF!</v>
      </c>
      <c r="E15" s="28" t="e">
        <f>IF(#REF!=1,"Si",IF(#REF!=2,"No","No probado"))</f>
        <v>#REF!</v>
      </c>
      <c r="F15" s="27" t="e">
        <f>IF(#REF!=0,"",#REF!)</f>
        <v>#REF!</v>
      </c>
      <c r="G15" s="33" t="s">
        <v>23</v>
      </c>
    </row>
    <row r="16" spans="1:8">
      <c r="A16" s="26" t="s">
        <v>38</v>
      </c>
      <c r="B16" s="31" t="s">
        <v>39</v>
      </c>
      <c r="C16" s="32" t="s">
        <v>22</v>
      </c>
      <c r="D16" s="27" t="e">
        <f>#REF!</f>
        <v>#REF!</v>
      </c>
      <c r="E16" s="28" t="e">
        <f>IF(#REF!=1,"Si",IF(#REF!=2,"No","No probado"))</f>
        <v>#REF!</v>
      </c>
      <c r="F16" s="27" t="e">
        <f>IF(#REF!=0,"",#REF!)</f>
        <v>#REF!</v>
      </c>
      <c r="G16" s="33" t="s">
        <v>23</v>
      </c>
    </row>
  </sheetData>
  <autoFilter ref="A7:G13" xr:uid="{93B2B82F-64F0-4967-9947-CB7EDAC5C284}"/>
  <phoneticPr fontId="0" type="noConversion"/>
  <hyperlinks>
    <hyperlink ref="A8" location="'TC-PF-001-01'!A1" display="TC-PF-001-01" xr:uid="{931240B4-C44F-49CC-BA1E-294835439B75}"/>
    <hyperlink ref="A9:A16" location="'TC-PF-001-01'!A1" display="TC-PF-001-01" xr:uid="{018908F8-AD7D-4CB5-936F-4D40CE6F8471}"/>
  </hyperlinks>
  <printOptions horizontalCentered="1"/>
  <pageMargins left="0.78740157480314965" right="0.78740157480314965" top="0.78740157480314965" bottom="0.59055118110236227" header="0.39370078740157483" footer="0.39370078740157483"/>
  <pageSetup paperSize="9" scale="75" fitToHeight="100" orientation="landscape" r:id="rId1"/>
  <headerFooter alignWithMargins="0">
    <oddHeader>&amp;RGcia. de Normas y Procedimientos
SubGcia. de Testing y Calidad</oddHeader>
    <oddFooter>&amp;C&amp;F - &amp;A - &amp;D&amp;RPágina &amp;P de &amp;N.-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F1BB1-F972-451E-9BF0-96D40DAD1913}">
  <sheetPr codeName="Hoja45">
    <pageSetUpPr fitToPage="1"/>
  </sheetPr>
  <dimension ref="A1:G21"/>
  <sheetViews>
    <sheetView tabSelected="1" topLeftCell="A7" workbookViewId="0">
      <selection activeCell="B25" sqref="B25"/>
    </sheetView>
  </sheetViews>
  <sheetFormatPr defaultRowHeight="12.75"/>
  <cols>
    <col min="1" max="1" width="18.7109375" customWidth="1"/>
    <col min="2" max="2" width="10.7109375" customWidth="1"/>
    <col min="3" max="3" width="12.140625" customWidth="1"/>
    <col min="4" max="5" width="22.5703125" customWidth="1"/>
    <col min="6" max="256" width="11.42578125" customWidth="1"/>
  </cols>
  <sheetData>
    <row r="1" spans="1:6" ht="18" customHeight="1">
      <c r="A1" s="6" t="s">
        <v>40</v>
      </c>
      <c r="B1" s="49" t="e">
        <f ca="1">MID(CELL("nombrearchivo",A1),FIND("]",CELL("nombrearchivo",A1))+1,FIND("]",CELL("nombrearchivo",A1))-FIND("[",CELL("nombrearchivo",A1))-1)</f>
        <v>#VALUE!</v>
      </c>
      <c r="C1" s="49"/>
      <c r="D1" s="6" t="s">
        <v>41</v>
      </c>
      <c r="E1" s="7" t="str">
        <f>'Registro TC - SG'!B3</f>
        <v>Rodriguez, Marcelo</v>
      </c>
      <c r="F1" s="25" t="s">
        <v>42</v>
      </c>
    </row>
    <row r="2" spans="1:6" ht="18" customHeight="1">
      <c r="A2" s="6" t="s">
        <v>43</v>
      </c>
      <c r="B2" s="54">
        <f ca="1">'Registro TC - SG'!B4</f>
        <v>45990</v>
      </c>
      <c r="C2" s="54"/>
      <c r="D2" s="6" t="s">
        <v>44</v>
      </c>
      <c r="E2" s="8" t="s">
        <v>45</v>
      </c>
    </row>
    <row r="3" spans="1:6" ht="18" customHeight="1">
      <c r="A3" s="6" t="s">
        <v>2</v>
      </c>
      <c r="B3" s="49" t="str">
        <f>'Registro TC - SG'!D1</f>
        <v>Sistema de Guardia</v>
      </c>
      <c r="C3" s="49"/>
      <c r="D3" s="6" t="s">
        <v>46</v>
      </c>
      <c r="E3" s="8"/>
    </row>
    <row r="4" spans="1:6" ht="18" customHeight="1">
      <c r="A4" s="6" t="s">
        <v>6</v>
      </c>
      <c r="B4" s="49" t="str">
        <f>'Registro TC - SG'!D2</f>
        <v>1.0.0</v>
      </c>
      <c r="C4" s="49"/>
      <c r="D4" s="6" t="s">
        <v>12</v>
      </c>
      <c r="E4" s="8">
        <f>'Registro TC - SG'!D4</f>
        <v>1</v>
      </c>
    </row>
    <row r="5" spans="1:6" ht="18" customHeight="1">
      <c r="A5" s="6" t="s">
        <v>10</v>
      </c>
      <c r="B5" s="49">
        <f>'Registro TC - SG'!D3</f>
        <v>1</v>
      </c>
      <c r="C5" s="49"/>
      <c r="D5" s="6" t="s">
        <v>47</v>
      </c>
      <c r="E5" s="9" t="e">
        <f ca="1">VLOOKUP(B1,'Registro TC - SG'!$A$8:$G$691,7,FALSE)</f>
        <v>#VALUE!</v>
      </c>
    </row>
    <row r="6" spans="1:6" ht="18" customHeight="1">
      <c r="A6" s="6" t="s">
        <v>48</v>
      </c>
      <c r="B6" s="10" t="s">
        <v>49</v>
      </c>
      <c r="C6" s="10" t="s">
        <v>50</v>
      </c>
      <c r="D6" s="10" t="s">
        <v>51</v>
      </c>
      <c r="E6" s="11" t="s">
        <v>52</v>
      </c>
    </row>
    <row r="7" spans="1:6" ht="30" customHeight="1">
      <c r="A7" s="50" t="s">
        <v>53</v>
      </c>
      <c r="B7" s="51"/>
      <c r="C7" s="52" t="e">
        <f ca="1">VLOOKUP(B1,'Registro TC - SG'!$A$8:$B$691,2,FALSE)</f>
        <v>#VALUE!</v>
      </c>
      <c r="D7" s="52"/>
      <c r="E7" s="53"/>
    </row>
    <row r="8" spans="1:6" ht="18" customHeight="1">
      <c r="A8" s="40" t="s">
        <v>54</v>
      </c>
      <c r="B8" s="55"/>
      <c r="C8" s="55"/>
      <c r="D8" s="55"/>
      <c r="E8" s="56"/>
    </row>
    <row r="9" spans="1:6" ht="53.25" customHeight="1">
      <c r="A9" s="35" t="s">
        <v>55</v>
      </c>
      <c r="B9" s="36"/>
      <c r="C9" s="36"/>
      <c r="D9" s="36"/>
      <c r="E9" s="37"/>
    </row>
    <row r="10" spans="1:6" ht="18" customHeight="1">
      <c r="A10" s="40" t="s">
        <v>56</v>
      </c>
      <c r="B10" s="41"/>
      <c r="C10" s="41"/>
      <c r="D10" s="41"/>
      <c r="E10" s="42"/>
    </row>
    <row r="11" spans="1:6" ht="106.5" customHeight="1">
      <c r="A11" s="35" t="s">
        <v>57</v>
      </c>
      <c r="B11" s="36"/>
      <c r="C11" s="36"/>
      <c r="D11" s="36"/>
      <c r="E11" s="37"/>
    </row>
    <row r="12" spans="1:6" ht="18" customHeight="1">
      <c r="A12" s="40" t="s">
        <v>58</v>
      </c>
      <c r="B12" s="41"/>
      <c r="C12" s="41"/>
      <c r="D12" s="41"/>
      <c r="E12" s="42"/>
    </row>
    <row r="13" spans="1:6" ht="52.5" customHeight="1">
      <c r="A13" s="35" t="s">
        <v>59</v>
      </c>
      <c r="B13" s="36"/>
      <c r="C13" s="36"/>
      <c r="D13" s="36"/>
      <c r="E13" s="37"/>
    </row>
    <row r="14" spans="1:6" ht="18" customHeight="1">
      <c r="A14" s="43" t="s">
        <v>60</v>
      </c>
      <c r="B14" s="44"/>
      <c r="C14" s="44"/>
      <c r="D14" s="44"/>
      <c r="E14" s="45"/>
    </row>
    <row r="15" spans="1:6" ht="18" customHeight="1">
      <c r="A15" s="46" t="s">
        <v>61</v>
      </c>
      <c r="B15" s="47"/>
      <c r="C15" s="47"/>
      <c r="D15" s="47"/>
      <c r="E15" s="48"/>
    </row>
    <row r="16" spans="1:6" ht="18" customHeight="1">
      <c r="A16" s="43" t="s">
        <v>62</v>
      </c>
      <c r="B16" s="44"/>
      <c r="C16" s="44"/>
      <c r="D16" s="44"/>
      <c r="E16" s="45"/>
    </row>
    <row r="17" spans="1:7" ht="18" customHeight="1">
      <c r="A17" s="46"/>
      <c r="B17" s="47"/>
      <c r="C17" s="47"/>
      <c r="D17" s="47"/>
      <c r="E17" s="48"/>
      <c r="G17" s="34"/>
    </row>
    <row r="18" spans="1:7" ht="10.5" customHeight="1">
      <c r="A18" s="38" t="s">
        <v>63</v>
      </c>
      <c r="B18" s="39"/>
      <c r="C18" s="12" t="str">
        <f>IF(F18=1,"þ","¨")</f>
        <v>þ</v>
      </c>
      <c r="D18" s="13" t="s">
        <v>17</v>
      </c>
      <c r="E18" s="14"/>
      <c r="F18" s="15">
        <v>1</v>
      </c>
      <c r="G18" s="34"/>
    </row>
    <row r="19" spans="1:7" ht="10.5" customHeight="1">
      <c r="A19" s="38"/>
      <c r="B19" s="39"/>
      <c r="C19" s="12" t="str">
        <f>IF(F18=2,"þ","¨")</f>
        <v>¨</v>
      </c>
      <c r="D19" s="13" t="s">
        <v>64</v>
      </c>
      <c r="E19" s="14"/>
      <c r="F19" s="15"/>
    </row>
    <row r="20" spans="1:7" ht="10.5" customHeight="1">
      <c r="A20" s="38"/>
      <c r="B20" s="39"/>
      <c r="C20" s="12" t="str">
        <f>IF(F18=3,"þ","¨")</f>
        <v>¨</v>
      </c>
      <c r="D20" s="13" t="s">
        <v>65</v>
      </c>
      <c r="E20" s="14"/>
      <c r="F20" s="15"/>
    </row>
    <row r="21" spans="1:7" ht="10.5" customHeight="1">
      <c r="A21" s="38"/>
      <c r="B21" s="39"/>
      <c r="C21" s="16" t="str">
        <f>IF(F18=4,"þ","¨")</f>
        <v>¨</v>
      </c>
      <c r="D21" s="17" t="s">
        <v>66</v>
      </c>
      <c r="E21" s="18"/>
      <c r="F21" s="19"/>
    </row>
  </sheetData>
  <mergeCells count="18">
    <mergeCell ref="B1:C1"/>
    <mergeCell ref="A11:E11"/>
    <mergeCell ref="A7:B7"/>
    <mergeCell ref="C7:E7"/>
    <mergeCell ref="B3:C3"/>
    <mergeCell ref="B2:C2"/>
    <mergeCell ref="B4:C4"/>
    <mergeCell ref="B5:C5"/>
    <mergeCell ref="A8:E8"/>
    <mergeCell ref="A13:E13"/>
    <mergeCell ref="A9:E9"/>
    <mergeCell ref="A18:B21"/>
    <mergeCell ref="A10:E10"/>
    <mergeCell ref="A12:E12"/>
    <mergeCell ref="A14:E14"/>
    <mergeCell ref="A15:E15"/>
    <mergeCell ref="A16:E16"/>
    <mergeCell ref="A17:E17"/>
  </mergeCells>
  <phoneticPr fontId="0" type="noConversion"/>
  <hyperlinks>
    <hyperlink ref="F1" location="'Registro TC-PF'!A1" display="Ir a inicio" xr:uid="{5F2E4400-68ED-4543-B8E2-665140799632}"/>
  </hyperlinks>
  <printOptions horizontalCentered="1"/>
  <pageMargins left="0.98425196850393704" right="0.59055118110236227" top="0.78740157480314965" bottom="0.59055118110236227" header="0.39370078740157483" footer="0.39370078740157483"/>
  <pageSetup paperSize="9" orientation="portrait" r:id="rId1"/>
  <headerFooter alignWithMargins="0">
    <oddHeader>&amp;RGcia. de Normas y Procedimientos_x000D_SubGcia. de Testing y Calidad</oddHeader>
    <oddFooter>&amp;C&amp;F - &amp;A - &amp;D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C792D16C48F284F8D22F85D0178700B" ma:contentTypeVersion="11" ma:contentTypeDescription="Crear nuevo documento." ma:contentTypeScope="" ma:versionID="c78ed9c226d0e1e7563beb8e91b498d9">
  <xsd:schema xmlns:xsd="http://www.w3.org/2001/XMLSchema" xmlns:xs="http://www.w3.org/2001/XMLSchema" xmlns:p="http://schemas.microsoft.com/office/2006/metadata/properties" xmlns:ns2="7063d464-838f-4e23-9b15-67707651ef25" xmlns:ns3="a76cbb48-0123-464c-be89-c2dfc3784685" targetNamespace="http://schemas.microsoft.com/office/2006/metadata/properties" ma:root="true" ma:fieldsID="6b0398d8b16aac43bba443e45a740439" ns2:_="" ns3:_="">
    <xsd:import namespace="7063d464-838f-4e23-9b15-67707651ef25"/>
    <xsd:import namespace="a76cbb48-0123-464c-be89-c2dfc37846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63d464-838f-4e23-9b15-67707651ef2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Etiquetas de imagen" ma:readOnly="false" ma:fieldId="{5cf76f15-5ced-4ddc-b409-7134ff3c332f}" ma:taxonomyMulti="true" ma:sspId="19c92aa0-7cdf-4e4a-b98b-544ca88e89e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6cbb48-0123-464c-be89-c2dfc3784685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e6b8921a-a62d-4c3d-a6e6-e6eebc504308}" ma:internalName="TaxCatchAll" ma:showField="CatchAllData" ma:web="a76cbb48-0123-464c-be89-c2dfc37846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FB900EC-A8D6-4760-994F-D7F5BB221B27}"/>
</file>

<file path=customXml/itemProps2.xml><?xml version="1.0" encoding="utf-8"?>
<ds:datastoreItem xmlns:ds="http://schemas.openxmlformats.org/officeDocument/2006/customXml" ds:itemID="{3F4F6DAE-7259-43E0-925D-097C743231F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L10166</dc:creator>
  <cp:keywords/>
  <dc:description/>
  <cp:lastModifiedBy>X</cp:lastModifiedBy>
  <cp:revision/>
  <dcterms:created xsi:type="dcterms:W3CDTF">2008-04-11T18:22:20Z</dcterms:created>
  <dcterms:modified xsi:type="dcterms:W3CDTF">2025-11-29T04:19:48Z</dcterms:modified>
  <cp:category/>
  <cp:contentStatus/>
</cp:coreProperties>
</file>